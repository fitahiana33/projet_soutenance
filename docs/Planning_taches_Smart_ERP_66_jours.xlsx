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ossy\stage\projet_soutenance\docs\"/>
    </mc:Choice>
  </mc:AlternateContent>
  <xr:revisionPtr revIDLastSave="0" documentId="13_ncr:1_{E2EC3735-3521-478C-967A-870BACB99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definedNames>
    <definedName name="_xlnm._FilterDatabase" localSheetId="0" hidden="1">'Feuille 1'!$A$1:$C$43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10" i="1"/>
  <c r="C5" i="1"/>
  <c r="C39" i="1"/>
  <c r="C37" i="1"/>
  <c r="C35" i="1"/>
  <c r="C33" i="1"/>
  <c r="C41" i="1" l="1"/>
</calcChain>
</file>

<file path=xl/sharedStrings.xml><?xml version="1.0" encoding="utf-8"?>
<sst xmlns="http://schemas.openxmlformats.org/spreadsheetml/2006/main" count="50" uniqueCount="43">
  <si>
    <t>Tâches</t>
  </si>
  <si>
    <t>Estimation en jours</t>
  </si>
  <si>
    <t>Préparation</t>
  </si>
  <si>
    <t>Étude et prise en main du projet et de Dolibarr</t>
  </si>
  <si>
    <t>Analyse du besoin et définition du périmètre fonctionnel</t>
  </si>
  <si>
    <t>Préparation de l'environnement Docker, Vue.js, FastAPI et PostgreSQL</t>
  </si>
  <si>
    <t>Sous Total</t>
  </si>
  <si>
    <t>Analyse et conception</t>
  </si>
  <si>
    <t>Conception de l'architecture logicielle et des échanges avec Dolibarr</t>
  </si>
  <si>
    <t>Conception du modèle de données et du MCD/MLD</t>
  </si>
  <si>
    <t>Conception des API et contrats d'échange</t>
  </si>
  <si>
    <t>Conception des interfaces et parcours utilisateurs</t>
  </si>
  <si>
    <t>Développement</t>
  </si>
  <si>
    <t>Authentification et gestion de session JWT</t>
  </si>
  <si>
    <t>Gestion des utilisateurs, rôles et permissions</t>
  </si>
  <si>
    <t>Intégration de l'API REST Dolibarr</t>
  </si>
  <si>
    <t>Synchronisation et préparation des données ERP</t>
  </si>
  <si>
    <t>Module Ventes et suivi des performances commerciales</t>
  </si>
  <si>
    <t>Tableaux de bord et indicateurs KPI</t>
  </si>
  <si>
    <t>Pipeline de données pour l'IA et préparation des jeux de données</t>
  </si>
  <si>
    <t>IA : prévision de la demande et du risque de rupture</t>
  </si>
  <si>
    <t>IA : détection d'anomalies</t>
  </si>
  <si>
    <t>IA : scoring des fournisseurs et matching des profils</t>
  </si>
  <si>
    <t>Moteur de recommandations et aide à la décision</t>
  </si>
  <si>
    <t>Simulation de scénarios et analyse d'impact</t>
  </si>
  <si>
    <t>Assistant intelligent pour interroger les données et analyses</t>
  </si>
  <si>
    <t>Notifications, alertes et journalisation des actions</t>
  </si>
  <si>
    <t>Tests</t>
  </si>
  <si>
    <t>Tests fonctionnels, tests API, sécurité et corrections</t>
  </si>
  <si>
    <t>Déploiement</t>
  </si>
  <si>
    <t>Déploiement de l'application avec Docker et préparation de la démonstration</t>
  </si>
  <si>
    <t>Documentation</t>
  </si>
  <si>
    <t>Rédaction de la documentation technique et du manuel utilisateur</t>
  </si>
  <si>
    <t>Formation</t>
  </si>
  <si>
    <t>Préparation et formation à l'utilisation de la plateforme</t>
  </si>
  <si>
    <t>Gestion de projet</t>
  </si>
  <si>
    <t>TOTAL GÉNÉRAL</t>
  </si>
  <si>
    <t>Module RH</t>
  </si>
  <si>
    <t>Module Stock</t>
  </si>
  <si>
    <t>Module Achats</t>
  </si>
  <si>
    <t>employés, contrats, absences et temps de travail</t>
  </si>
  <si>
    <t>produits, mouvements, inventaires et niveaux de stock</t>
  </si>
  <si>
    <t>Achats et fournisseurs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</si>
</sst>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0"/>
      <name val="Arial"/>
    </font>
    <font>
      <b/>
      <sz val="12"/>
      <name val="Arial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29">
    <xf numFmtId="0" fontId="0" fillId="0" borderId="0" xfId="0" applyAlignment="1"/>
    <xf numFmtId="0" fontId="1" fillId="0" borderId="0" xfId="0" applyFont="1" applyAlignment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workbookViewId="0">
      <pane xSplit="3" ySplit="1" topLeftCell="D13" activePane="bottomRight" state="frozen"/>
      <selection pane="topRight"/>
      <selection pane="bottomLeft"/>
      <selection pane="bottomRight" activeCell="B21" sqref="B21"/>
    </sheetView>
  </sheetViews>
  <sheetFormatPr baseColWidth="10" defaultColWidth="12.6640625" defaultRowHeight="15.75" customHeight="1" x14ac:dyDescent="0.25"/>
  <cols>
    <col min="1" max="1" width="24" style="2" customWidth="1"/>
    <col min="2" max="2" width="70.77734375" style="2" customWidth="1"/>
    <col min="3" max="3" width="17.88671875" style="20" customWidth="1"/>
    <col min="4" max="4" width="70" style="2" customWidth="1"/>
    <col min="5" max="5" width="20" style="2" customWidth="1"/>
  </cols>
  <sheetData>
    <row r="1" spans="1:26" ht="13.2" x14ac:dyDescent="0.25">
      <c r="A1" s="3"/>
      <c r="B1" s="4" t="s">
        <v>0</v>
      </c>
      <c r="C1" s="4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25">
      <c r="A2" s="25" t="s">
        <v>2</v>
      </c>
      <c r="B2" s="6" t="s">
        <v>3</v>
      </c>
      <c r="C2" s="22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25">
      <c r="A3" s="26"/>
      <c r="B3" s="6" t="s">
        <v>4</v>
      </c>
      <c r="C3" s="22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25">
      <c r="A4" s="26"/>
      <c r="B4" s="6" t="s">
        <v>5</v>
      </c>
      <c r="C4" s="14">
        <v>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27"/>
      <c r="B5" s="13" t="s">
        <v>6</v>
      </c>
      <c r="C5" s="13">
        <f>SUM(C2:C4)</f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25">
      <c r="A6" s="25" t="s">
        <v>7</v>
      </c>
      <c r="B6" s="8" t="s">
        <v>8</v>
      </c>
      <c r="C6" s="21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25">
      <c r="A7" s="26"/>
      <c r="B7" s="11" t="s">
        <v>9</v>
      </c>
      <c r="C7" s="15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25">
      <c r="A8" s="26"/>
      <c r="B8" s="12" t="s">
        <v>10</v>
      </c>
      <c r="C8" s="22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25">
      <c r="A9" s="26"/>
      <c r="B9" s="8" t="s">
        <v>11</v>
      </c>
      <c r="C9" s="14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25">
      <c r="A10" s="27"/>
      <c r="B10" s="13" t="s">
        <v>6</v>
      </c>
      <c r="C10" s="23">
        <f>SUM(C9,C8,C7,C6)</f>
        <v>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25">
      <c r="A11" s="25" t="s">
        <v>12</v>
      </c>
      <c r="B11" s="9" t="s">
        <v>14</v>
      </c>
      <c r="C11" s="1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25">
      <c r="A12" s="26"/>
      <c r="B12" s="7" t="s">
        <v>13</v>
      </c>
      <c r="C12" s="15">
        <v>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25">
      <c r="A13" s="26"/>
      <c r="B13" s="8" t="s">
        <v>15</v>
      </c>
      <c r="C13" s="15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25">
      <c r="A14" s="26"/>
      <c r="B14" s="8" t="s">
        <v>16</v>
      </c>
      <c r="C14" s="15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25">
      <c r="A15" s="26"/>
      <c r="B15" s="28" t="s">
        <v>37</v>
      </c>
      <c r="C15" s="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25">
      <c r="A16" s="26"/>
      <c r="B16" s="11" t="s">
        <v>40</v>
      </c>
      <c r="C16" s="15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25">
      <c r="A17" s="26"/>
      <c r="B17" s="28" t="s">
        <v>38</v>
      </c>
      <c r="C17" s="1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25">
      <c r="A18" s="26"/>
      <c r="B18" s="11" t="s">
        <v>41</v>
      </c>
      <c r="C18" s="15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25">
      <c r="A19" s="26"/>
      <c r="B19" s="28" t="s">
        <v>39</v>
      </c>
      <c r="C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25">
      <c r="A20" s="26"/>
      <c r="B20" s="11" t="s">
        <v>42</v>
      </c>
      <c r="C20" s="15">
        <v>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25">
      <c r="A21" s="26"/>
      <c r="B21" s="9" t="s">
        <v>17</v>
      </c>
      <c r="C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25">
      <c r="A22" s="26"/>
      <c r="B22" s="8" t="s">
        <v>18</v>
      </c>
      <c r="C22" s="15"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25">
      <c r="A23" s="26"/>
      <c r="B23" s="8" t="s">
        <v>19</v>
      </c>
      <c r="C23" s="15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25">
      <c r="A24" s="26"/>
      <c r="B24" s="8" t="s">
        <v>20</v>
      </c>
      <c r="C24" s="15">
        <v>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25">
      <c r="A25" s="26"/>
      <c r="B25" s="8" t="s">
        <v>21</v>
      </c>
      <c r="C25" s="15">
        <v>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25">
      <c r="A26" s="26"/>
      <c r="B26" s="8" t="s">
        <v>22</v>
      </c>
      <c r="C26" s="15">
        <v>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25">
      <c r="A27" s="26"/>
      <c r="B27" s="8" t="s">
        <v>23</v>
      </c>
      <c r="C27" s="15">
        <v>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25">
      <c r="A28" s="26"/>
      <c r="B28" s="8" t="s">
        <v>24</v>
      </c>
      <c r="C28" s="15"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25">
      <c r="A29" s="26"/>
      <c r="B29" s="9" t="s">
        <v>25</v>
      </c>
      <c r="C29" s="1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25">
      <c r="A30" s="26"/>
      <c r="B30" s="8" t="s">
        <v>26</v>
      </c>
      <c r="C30" s="15">
        <v>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27"/>
      <c r="B31" s="13" t="s">
        <v>6</v>
      </c>
      <c r="C31" s="13">
        <f>SUM(C30,C28,C26,C27,C25,C24,C23,C22,C20,C18,C16,C14,C13,C12)</f>
        <v>45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25">
      <c r="A32" s="25" t="s">
        <v>27</v>
      </c>
      <c r="B32" s="8" t="s">
        <v>28</v>
      </c>
      <c r="C32" s="15">
        <v>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27"/>
      <c r="B33" s="16" t="s">
        <v>6</v>
      </c>
      <c r="C33" s="13">
        <f>SUM(C32:C32)</f>
        <v>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25">
      <c r="A34" s="25" t="s">
        <v>29</v>
      </c>
      <c r="B34" s="7" t="s">
        <v>30</v>
      </c>
      <c r="C34" s="15">
        <v>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27"/>
      <c r="B35" s="13" t="s">
        <v>6</v>
      </c>
      <c r="C35" s="13">
        <f>SUM(C34:C34)</f>
        <v>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25">
      <c r="A36" s="25" t="s">
        <v>31</v>
      </c>
      <c r="B36" s="8" t="s">
        <v>32</v>
      </c>
      <c r="C36" s="15">
        <v>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27"/>
      <c r="B37" s="13" t="s">
        <v>6</v>
      </c>
      <c r="C37" s="13">
        <f>SUM(C36:C36)</f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25">
      <c r="A38" s="25" t="s">
        <v>33</v>
      </c>
      <c r="B38" s="8" t="s">
        <v>34</v>
      </c>
      <c r="C38" s="15">
        <v>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customHeight="1" x14ac:dyDescent="0.25">
      <c r="A39" s="27"/>
      <c r="B39" s="13" t="s">
        <v>6</v>
      </c>
      <c r="C39" s="24">
        <f>SUM(C38:C38)</f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customHeight="1" x14ac:dyDescent="0.25">
      <c r="A40" s="5" t="s">
        <v>35</v>
      </c>
      <c r="B40" s="5" t="s">
        <v>35</v>
      </c>
      <c r="C40" s="13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25">
      <c r="B41" s="10" t="s">
        <v>36</v>
      </c>
      <c r="C41" s="17">
        <f>SUM(C40,C39,C37,C35,C33,C31,C10,C5)</f>
        <v>66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25">
      <c r="A42" s="7"/>
      <c r="B42" s="10"/>
      <c r="C42" s="1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7"/>
      <c r="B43" s="1"/>
      <c r="C43" s="1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autoFilter ref="A1:E43" xr:uid="{00000000-0009-0000-0000-000000000000}"/>
  <mergeCells count="7">
    <mergeCell ref="A38:A39"/>
    <mergeCell ref="A2:A5"/>
    <mergeCell ref="A6:A10"/>
    <mergeCell ref="A11:A31"/>
    <mergeCell ref="A32:A33"/>
    <mergeCell ref="A34:A35"/>
    <mergeCell ref="A36:A3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nandrianina</cp:lastModifiedBy>
  <dcterms:created xsi:type="dcterms:W3CDTF">2026-08-12T12:57:57Z</dcterms:created>
  <dcterms:modified xsi:type="dcterms:W3CDTF">2026-08-13T05:31:24Z</dcterms:modified>
</cp:coreProperties>
</file>